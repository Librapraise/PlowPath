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1"/>
  </bookViews>
  <sheets>
    <sheet name="Cost Simulator" sheetId="1" r:id="rId1"/>
    <sheet name="Third-Party Pricing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<sst xmlns="http://schemas.openxmlformats.org/spreadsheetml/2006/main" count="86" uniqueCount="77">
  <si>
    <t>PlowPath Cost Simulator</t>
  </si>
  <si>
    <t>Interactive Input Parameters</t>
  </si>
  <si>
    <t>Number of Active Clients</t>
  </si>
  <si>
    <t>Count of active customer properties (driveways/lots)</t>
  </si>
  <si>
    <t>Number of Active Drivers</t>
  </si>
  <si>
    <t>Count of snowplow drivers running the mobile app</t>
  </si>
  <si>
    <t>Number of Storms per Month</t>
  </si>
  <si>
    <t>Average active winter weather events in a month</t>
  </si>
  <si>
    <t>SMS Notification Ratio</t>
  </si>
  <si>
    <t>Percentage of clients preferring SMS alerts (e.g. 0.90 for 90%)</t>
  </si>
  <si>
    <t>Voice Call Ratio</t>
  </si>
  <si>
    <t>Percentage of clients preferring Voice Call alerts (e.g. 0.10 for 10%)</t>
  </si>
  <si>
    <t>Hosting &amp; DB Tier Mode</t>
  </si>
  <si>
    <t>Production</t>
  </si>
  <si>
    <t>Enter 'Production' or 'Staging' to swap hosting cost baselines</t>
  </si>
  <si>
    <t>Calculated Monthly Expenses</t>
  </si>
  <si>
    <t>Cost Component</t>
  </si>
  <si>
    <t>Monthly Total</t>
  </si>
  <si>
    <t>Cost per Client</t>
  </si>
  <si>
    <t>Calculation Rule / Formula Detail</t>
  </si>
  <si>
    <t>Platform Fixed Idle Cost</t>
  </si>
  <si>
    <t>Baseline hosting, DB and developer account costs. (Staging = $8.25, Prod = $41.14)</t>
  </si>
  <si>
    <t>Twilio SMS Notifications</t>
  </si>
  <si>
    <t>Est. 3 texts per client per storm (pre-storm, en-route, done) at $0.012/msg (inc. carrier fees)</t>
  </si>
  <si>
    <t>Twilio Voice Interactive Calls</t>
  </si>
  <si>
    <t>Est. 1.5 minutes of interactive calling per storm per voice user at $0.014/min</t>
  </si>
  <si>
    <t>Upstash Redis (Pay-As-You-Go)</t>
  </si>
  <si>
    <t>Serverless commands for tracking updates &amp; Bull queues ($0.20 per 100k Redis commands)</t>
  </si>
  <si>
    <t>TOTAL ESTIMATED MONTHLY BILL</t>
  </si>
  <si>
    <t>Combined platform idle + operational payload costs</t>
  </si>
  <si>
    <t>PlowPath Detailed Pricing Matrix</t>
  </si>
  <si>
    <t>Provider / Service</t>
  </si>
  <si>
    <t>Category</t>
  </si>
  <si>
    <t>Setup / One-time</t>
  </si>
  <si>
    <t>Idle Cost (Staging)</t>
  </si>
  <si>
    <t>Idle Cost (Production)</t>
  </si>
  <si>
    <t>Variable Cost Structure</t>
  </si>
  <si>
    <t>Notes / Limits</t>
  </si>
  <si>
    <t>Apple Developer Program</t>
  </si>
  <si>
    <t>Mobile Distribution</t>
  </si>
  <si>
    <t>None</t>
  </si>
  <si>
    <t>Annual Developer license, paid upfront ($99/year)</t>
  </si>
  <si>
    <t>Google Play Console</t>
  </si>
  <si>
    <t>One-time registration fee ($25)</t>
  </si>
  <si>
    <t>Transistor Background SDK</t>
  </si>
  <si>
    <t>Background GPS</t>
  </si>
  <si>
    <t>Optional production upgrade: $349 one-time. Default is free MIT library</t>
  </si>
  <si>
    <t>Fly.io (API)</t>
  </si>
  <si>
    <t>Cloud Hosting</t>
  </si>
  <si>
    <t>Free tier (256MB VM) in staging; 512MB RAM VM in production</t>
  </si>
  <si>
    <t>Self-Hosted OSRM (Fly.io)</t>
  </si>
  <si>
    <t>Map Routing Engine</t>
  </si>
  <si>
    <t>OSRM docker container on 1GB RAM + 10GB persistent storage</t>
  </si>
  <si>
    <t>Neon Postgres</t>
  </si>
  <si>
    <t>Database</t>
  </si>
  <si>
    <t>Free tier staging (0.5GB limit); paid Launch plan for production scale</t>
  </si>
  <si>
    <t>Upstash Redis</t>
  </si>
  <si>
    <t>Queue / Caching</t>
  </si>
  <si>
    <t>$0.20 / 100k commands</t>
  </si>
  <si>
    <t>Pay-as-you-go plan. Zero idle costs. Staging tier free up to 10k/day</t>
  </si>
  <si>
    <t>Twilio SMS &amp; Voice</t>
  </si>
  <si>
    <t>Communications</t>
  </si>
  <si>
    <t>SMS: $0.012/msg, Voice: $0.014/min</t>
  </si>
  <si>
    <t>Prod: $1.15/mo number + $2.00/mo A2P campaign. Surcharges included in msg rate</t>
  </si>
  <si>
    <t>Mapbox Geocoding</t>
  </si>
  <si>
    <t>Address Search</t>
  </si>
  <si>
    <t>$0.75 / 1,000 requests</t>
  </si>
  <si>
    <t>Includes 100,000 free temporary geocodes per month</t>
  </si>
  <si>
    <t>Resend Email</t>
  </si>
  <si>
    <t>Transaction Email</t>
  </si>
  <si>
    <t>Free tier covers 3,000 emails/month (100/day)</t>
  </si>
  <si>
    <t>Sentry</t>
  </si>
  <si>
    <t>Error Tracker</t>
  </si>
  <si>
    <t>Developer tier covers 5,000 alerts/month for free</t>
  </si>
  <si>
    <t>Cloudflare Pages</t>
  </si>
  <si>
    <t>Web Hosting</t>
  </si>
  <si>
    <t>Free static hosting for web dashboard (Vite dist)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</si>
</sst>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8">
    <font>
      <sz val="11"/>
      <color theme="1"/>
      <name val="Calibri"/>
      <charset val="134"/>
      <scheme val="minor"/>
    </font>
    <font>
      <b/>
      <sz val="16"/>
      <color rgb="FF1F4E78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b/>
      <sz val="12"/>
      <color rgb="FF1F4E78"/>
      <name val="Calibri"/>
      <charset val="134"/>
    </font>
    <font>
      <i/>
      <sz val="9"/>
      <name val="Calibri"/>
      <charset val="134"/>
    </font>
    <font>
      <b/>
      <sz val="11"/>
      <color rgb="FF1F4E7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4" fillId="3" borderId="2" xfId="0" applyFont="1" applyFill="1" applyBorder="1"/>
    <xf numFmtId="178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178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0" xfId="0" applyFont="1"/>
    <xf numFmtId="3" fontId="3" fillId="4" borderId="2" xfId="0" applyNumberFormat="1" applyFont="1" applyFill="1" applyBorder="1" applyAlignment="1">
      <alignment horizontal="right"/>
    </xf>
    <xf numFmtId="0" fontId="6" fillId="0" borderId="2" xfId="0" applyFont="1" applyBorder="1"/>
    <xf numFmtId="9" fontId="3" fillId="4" borderId="2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178" fontId="4" fillId="0" borderId="2" xfId="0" applyNumberFormat="1" applyFont="1" applyBorder="1"/>
    <xf numFmtId="0" fontId="7" fillId="5" borderId="3" xfId="0" applyFont="1" applyFill="1" applyBorder="1"/>
    <xf numFmtId="178" fontId="7" fillId="5" borderId="3" xfId="0" applyNumberFormat="1" applyFont="1" applyFill="1" applyBorder="1"/>
    <xf numFmtId="0" fontId="6" fillId="0" borderId="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3" workbookViewId="0">
      <selection activeCell="A1" sqref="A1"/>
    </sheetView>
  </sheetViews>
  <sheetFormatPr defaultColWidth="9" defaultRowHeight="15" outlineLevelCol="3"/>
  <cols>
    <col min="1" max="1" width="30" customWidth="1"/>
    <col min="2" max="3" width="18" customWidth="1"/>
    <col min="4" max="4" width="75" customWidth="1"/>
  </cols>
  <sheetData>
    <row r="1" ht="25" customHeight="1" spans="1:4">
      <c r="A1" s="1" t="s">
        <v>0</v>
      </c>
    </row>
    <row r="3" ht="15.75" spans="1:4">
      <c r="A3" s="13" t="s">
        <v>1</v>
      </c>
    </row>
    <row r="4" spans="1:4">
      <c r="A4" s="7" t="s">
        <v>2</v>
      </c>
      <c r="B4" s="14">
        <v>500</v>
      </c>
      <c r="C4" s="15" t="s">
        <v>3</v>
      </c>
    </row>
    <row r="5" spans="1:4">
      <c r="A5" s="7" t="s">
        <v>4</v>
      </c>
      <c r="B5" s="14">
        <v>10</v>
      </c>
      <c r="C5" s="15" t="s">
        <v>5</v>
      </c>
    </row>
    <row r="6" spans="1:4">
      <c r="A6" s="7" t="s">
        <v>6</v>
      </c>
      <c r="B6" s="14">
        <v>4</v>
      </c>
      <c r="C6" s="15" t="s">
        <v>7</v>
      </c>
    </row>
    <row r="7" spans="1:4">
      <c r="A7" s="7" t="s">
        <v>8</v>
      </c>
      <c r="B7" s="16">
        <v>0.9</v>
      </c>
      <c r="C7" s="15" t="s">
        <v>9</v>
      </c>
    </row>
    <row r="8" spans="1:4">
      <c r="A8" s="7" t="s">
        <v>10</v>
      </c>
      <c r="B8" s="16">
        <v>0.1</v>
      </c>
      <c r="C8" s="15" t="s">
        <v>11</v>
      </c>
    </row>
    <row r="9" spans="1:4">
      <c r="A9" s="7" t="s">
        <v>12</v>
      </c>
      <c r="B9" s="17" t="s">
        <v>13</v>
      </c>
      <c r="C9" s="15" t="s">
        <v>14</v>
      </c>
    </row>
    <row r="12" ht="15.75" spans="1:4">
      <c r="A12" s="13" t="s">
        <v>15</v>
      </c>
    </row>
    <row r="13" ht="24" customHeight="1" spans="1:4">
      <c r="A13" s="18" t="s">
        <v>16</v>
      </c>
      <c r="B13" s="2" t="s">
        <v>17</v>
      </c>
      <c r="C13" s="2" t="s">
        <v>18</v>
      </c>
      <c r="D13" s="18" t="s">
        <v>19</v>
      </c>
    </row>
    <row r="14" spans="1:4">
      <c r="A14" s="7" t="s">
        <v>20</v>
      </c>
      <c r="B14" s="19">
        <f>IF(B9="Production",41.14,8.25)</f>
        <v>41.14</v>
      </c>
      <c r="C14" s="19">
        <f>B14/B4</f>
        <v>0.08228</v>
      </c>
      <c r="D14" s="15" t="s">
        <v>21</v>
      </c>
    </row>
    <row r="15" spans="1:4">
      <c r="A15" s="7" t="s">
        <v>22</v>
      </c>
      <c r="B15" s="19">
        <f>B4*B7*(B6*3)*0.012</f>
        <v>64.8</v>
      </c>
      <c r="C15" s="19">
        <f>B15/B4</f>
        <v>0.1296</v>
      </c>
      <c r="D15" s="15" t="s">
        <v>23</v>
      </c>
    </row>
    <row r="16" spans="1:4">
      <c r="A16" s="7" t="s">
        <v>24</v>
      </c>
      <c r="B16" s="19">
        <f>B4*B8*(B6*1.5)*0.014</f>
        <v>4.2</v>
      </c>
      <c r="C16" s="19">
        <f>B16/B4</f>
        <v>0.0084</v>
      </c>
      <c r="D16" s="15" t="s">
        <v>25</v>
      </c>
    </row>
    <row r="17" spans="1:4">
      <c r="A17" s="7" t="s">
        <v>26</v>
      </c>
      <c r="B17" s="19">
        <f>((B4*10+B5*50)*B6*0.2)/100000</f>
        <v>0.044</v>
      </c>
      <c r="C17" s="19">
        <f>B17/B4</f>
        <v>8.8e-5</v>
      </c>
      <c r="D17" s="15" t="s">
        <v>27</v>
      </c>
    </row>
    <row r="18" ht="15.75" spans="1:4">
      <c r="A18" s="20" t="s">
        <v>28</v>
      </c>
      <c r="B18" s="21">
        <f>SUM(B14:B17)</f>
        <v>110.184</v>
      </c>
      <c r="C18" s="21">
        <f>SUM(C14:C17)</f>
        <v>0.220368</v>
      </c>
      <c r="D18" s="22" t="s">
        <v>29</v>
      </c>
    </row>
    <row r="19" ht="15.75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A10" sqref="A10"/>
    </sheetView>
  </sheetViews>
  <sheetFormatPr defaultColWidth="9" defaultRowHeight="15" outlineLevelCol="6"/>
  <cols>
    <col min="1" max="1" width="28" customWidth="1"/>
    <col min="2" max="2" width="20" customWidth="1"/>
    <col min="3" max="3" width="18" customWidth="1"/>
    <col min="4" max="4" width="20" customWidth="1"/>
    <col min="5" max="5" width="22" customWidth="1"/>
    <col min="6" max="6" width="28" customWidth="1"/>
    <col min="7" max="7" width="65" customWidth="1"/>
  </cols>
  <sheetData>
    <row r="1" ht="25" customHeight="1" spans="1:7">
      <c r="A1" s="1" t="s">
        <v>30</v>
      </c>
    </row>
    <row r="3" ht="24" customHeight="1" spans="1:7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</row>
    <row r="4" ht="20" customHeight="1" spans="1:7">
      <c r="A4" s="3" t="s">
        <v>38</v>
      </c>
      <c r="B4" s="4" t="s">
        <v>39</v>
      </c>
      <c r="C4" s="5">
        <v>99</v>
      </c>
      <c r="D4" s="5">
        <v>8.25</v>
      </c>
      <c r="E4" s="5">
        <v>8.25</v>
      </c>
      <c r="F4" s="6" t="s">
        <v>40</v>
      </c>
      <c r="G4" s="4" t="s">
        <v>41</v>
      </c>
    </row>
    <row r="5" ht="20" customHeight="1" spans="1:7">
      <c r="A5" s="7" t="s">
        <v>42</v>
      </c>
      <c r="B5" s="8" t="s">
        <v>39</v>
      </c>
      <c r="C5" s="9">
        <v>25</v>
      </c>
      <c r="D5" s="9">
        <v>0</v>
      </c>
      <c r="E5" s="9">
        <v>0</v>
      </c>
      <c r="F5" s="10" t="s">
        <v>40</v>
      </c>
      <c r="G5" s="8" t="s">
        <v>43</v>
      </c>
    </row>
    <row r="6" ht="20" customHeight="1" spans="1:7">
      <c r="A6" s="3" t="s">
        <v>44</v>
      </c>
      <c r="B6" s="4" t="s">
        <v>45</v>
      </c>
      <c r="C6" s="5">
        <v>0</v>
      </c>
      <c r="D6" s="5">
        <v>0</v>
      </c>
      <c r="E6" s="5">
        <v>0</v>
      </c>
      <c r="F6" s="6" t="s">
        <v>40</v>
      </c>
      <c r="G6" s="4" t="s">
        <v>46</v>
      </c>
    </row>
    <row r="7" ht="20" customHeight="1" spans="1:7">
      <c r="A7" s="7" t="s">
        <v>47</v>
      </c>
      <c r="B7" s="8" t="s">
        <v>48</v>
      </c>
      <c r="C7" s="9">
        <v>0</v>
      </c>
      <c r="D7" s="9">
        <v>0</v>
      </c>
      <c r="E7" s="9">
        <v>3.19</v>
      </c>
      <c r="F7" s="10" t="s">
        <v>40</v>
      </c>
      <c r="G7" s="8" t="s">
        <v>49</v>
      </c>
    </row>
    <row r="8" ht="20" customHeight="1" spans="1:7">
      <c r="A8" s="3" t="s">
        <v>50</v>
      </c>
      <c r="B8" s="4" t="s">
        <v>51</v>
      </c>
      <c r="C8" s="5">
        <v>0</v>
      </c>
      <c r="D8" s="5">
        <v>0</v>
      </c>
      <c r="E8" s="5">
        <v>7.2</v>
      </c>
      <c r="F8" s="6" t="s">
        <v>40</v>
      </c>
      <c r="G8" s="4" t="s">
        <v>52</v>
      </c>
    </row>
    <row r="9" ht="20" customHeight="1" spans="1:7">
      <c r="A9" s="7" t="s">
        <v>53</v>
      </c>
      <c r="B9" s="8" t="s">
        <v>54</v>
      </c>
      <c r="C9" s="9">
        <v>0</v>
      </c>
      <c r="D9" s="9">
        <v>0</v>
      </c>
      <c r="E9" s="9">
        <v>19</v>
      </c>
      <c r="F9" s="10" t="s">
        <v>40</v>
      </c>
      <c r="G9" s="8" t="s">
        <v>55</v>
      </c>
    </row>
    <row r="10" ht="20" customHeight="1" spans="1:7">
      <c r="A10" s="3" t="s">
        <v>56</v>
      </c>
      <c r="B10" s="4" t="s">
        <v>57</v>
      </c>
      <c r="C10" s="5">
        <v>0</v>
      </c>
      <c r="D10" s="5">
        <v>0</v>
      </c>
      <c r="E10" s="5">
        <v>0</v>
      </c>
      <c r="F10" s="11" t="s">
        <v>58</v>
      </c>
      <c r="G10" s="4" t="s">
        <v>59</v>
      </c>
    </row>
    <row r="11" ht="20" customHeight="1" spans="1:7">
      <c r="A11" s="7" t="s">
        <v>60</v>
      </c>
      <c r="B11" s="8" t="s">
        <v>61</v>
      </c>
      <c r="C11" s="9">
        <v>59</v>
      </c>
      <c r="D11" s="9">
        <v>0</v>
      </c>
      <c r="E11" s="9">
        <v>3.5</v>
      </c>
      <c r="F11" s="12" t="s">
        <v>62</v>
      </c>
      <c r="G11" s="8" t="s">
        <v>63</v>
      </c>
    </row>
    <row r="12" ht="20" customHeight="1" spans="1:7">
      <c r="A12" s="3" t="s">
        <v>64</v>
      </c>
      <c r="B12" s="4" t="s">
        <v>65</v>
      </c>
      <c r="C12" s="5">
        <v>0</v>
      </c>
      <c r="D12" s="5">
        <v>0</v>
      </c>
      <c r="E12" s="5">
        <v>0</v>
      </c>
      <c r="F12" s="11" t="s">
        <v>66</v>
      </c>
      <c r="G12" s="4" t="s">
        <v>67</v>
      </c>
    </row>
    <row r="13" ht="20" customHeight="1" spans="1:7">
      <c r="A13" s="7" t="s">
        <v>68</v>
      </c>
      <c r="B13" s="8" t="s">
        <v>69</v>
      </c>
      <c r="C13" s="9">
        <v>0</v>
      </c>
      <c r="D13" s="9">
        <v>0</v>
      </c>
      <c r="E13" s="9">
        <v>0</v>
      </c>
      <c r="F13" s="10" t="s">
        <v>40</v>
      </c>
      <c r="G13" s="8" t="s">
        <v>70</v>
      </c>
    </row>
    <row r="14" ht="20" customHeight="1" spans="1:7">
      <c r="A14" s="3" t="s">
        <v>71</v>
      </c>
      <c r="B14" s="4" t="s">
        <v>72</v>
      </c>
      <c r="C14" s="5">
        <v>0</v>
      </c>
      <c r="D14" s="5">
        <v>0</v>
      </c>
      <c r="E14" s="5">
        <v>0</v>
      </c>
      <c r="F14" s="6" t="s">
        <v>40</v>
      </c>
      <c r="G14" s="4" t="s">
        <v>73</v>
      </c>
    </row>
    <row r="15" ht="20" customHeight="1" spans="1:7">
      <c r="A15" s="7" t="s">
        <v>74</v>
      </c>
      <c r="B15" s="8" t="s">
        <v>75</v>
      </c>
      <c r="C15" s="9">
        <v>0</v>
      </c>
      <c r="D15" s="9">
        <v>0</v>
      </c>
      <c r="E15" s="9">
        <v>0</v>
      </c>
      <c r="F15" s="10" t="s">
        <v>40</v>
      </c>
      <c r="G15" s="8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Cost Simulator</vt:lpstr>
      <vt:lpstr>Third-Party Pricing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folfe</cp:lastModifiedBy>
  <dcterms:created xsi:type="dcterms:W3CDTF">2026-06-28T17:54:00Z</dcterms:created>
  <dcterms:modified xsi:type="dcterms:W3CDTF">2026-06-28T17:56:26Z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74B5D96BEC9E40D78F91B7ACAE63A274_12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